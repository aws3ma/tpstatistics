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em\Documents\statistics tp\"/>
    </mc:Choice>
  </mc:AlternateContent>
  <xr:revisionPtr revIDLastSave="0" documentId="13_ncr:1_{2722BC9D-1E67-4D28-BC8E-650741491012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encaissement" sheetId="2" r:id="rId1"/>
    <sheet name="traitem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E5" i="2" s="1"/>
  <c r="F3" i="2"/>
  <c r="G3" i="2"/>
  <c r="C4" i="2"/>
  <c r="D4" i="2"/>
  <c r="D5" i="2" s="1"/>
  <c r="E4" i="2"/>
  <c r="F4" i="2"/>
  <c r="G4" i="2"/>
  <c r="C5" i="2"/>
  <c r="F5" i="2"/>
  <c r="G5" i="2"/>
  <c r="B1" i="2" l="1"/>
  <c r="D1" i="2"/>
  <c r="F1" i="2"/>
  <c r="H1" i="2"/>
  <c r="J1" i="2"/>
  <c r="I3" i="2"/>
  <c r="K3" i="2"/>
  <c r="I4" i="2"/>
  <c r="K4" i="2"/>
  <c r="K5" i="2" s="1"/>
  <c r="G13" i="2" l="1"/>
  <c r="L5" i="2"/>
  <c r="F9" i="2"/>
  <c r="F8" i="2"/>
  <c r="F11" i="2"/>
  <c r="G7" i="2"/>
  <c r="G11" i="2"/>
  <c r="D7" i="2"/>
  <c r="D11" i="2"/>
  <c r="I5" i="2"/>
  <c r="I7" i="2" s="1"/>
  <c r="K11" i="2"/>
  <c r="K7" i="2"/>
  <c r="K10" i="2"/>
  <c r="K6" i="2"/>
  <c r="E7" i="2"/>
  <c r="E6" i="2"/>
  <c r="E12" i="2"/>
  <c r="E8" i="2"/>
  <c r="E11" i="2"/>
  <c r="E9" i="2"/>
  <c r="F6" i="2"/>
  <c r="G12" i="2"/>
  <c r="G6" i="2"/>
  <c r="D12" i="2"/>
  <c r="D6" i="2"/>
  <c r="C7" i="2" s="1"/>
  <c r="F12" i="2"/>
  <c r="C12" i="2"/>
  <c r="C10" i="2"/>
  <c r="F7" i="2"/>
  <c r="I3" i="1"/>
  <c r="I4" i="1" s="1"/>
  <c r="I2" i="1"/>
  <c r="H3" i="1"/>
  <c r="G3" i="1"/>
  <c r="H2" i="1"/>
  <c r="H4" i="1" s="1"/>
  <c r="G2" i="1"/>
  <c r="J14" i="1"/>
  <c r="J13" i="1"/>
  <c r="F2" i="1"/>
  <c r="F3" i="1"/>
  <c r="E3" i="1"/>
  <c r="E2" i="1"/>
  <c r="J5" i="1"/>
  <c r="J6" i="1"/>
  <c r="J7" i="1"/>
  <c r="J8" i="1"/>
  <c r="J9" i="1"/>
  <c r="J10" i="1"/>
  <c r="J11" i="1"/>
  <c r="J12" i="1"/>
  <c r="I1" i="1"/>
  <c r="H1" i="1"/>
  <c r="G1" i="1"/>
  <c r="F1" i="1"/>
  <c r="D3" i="1"/>
  <c r="B3" i="1"/>
  <c r="D2" i="1"/>
  <c r="C2" i="1"/>
  <c r="E1" i="1"/>
  <c r="D1" i="1"/>
  <c r="C1" i="1"/>
  <c r="C3" i="1"/>
  <c r="B1" i="1"/>
  <c r="B2" i="1"/>
  <c r="F4" i="1" l="1"/>
  <c r="C6" i="2"/>
  <c r="C11" i="2"/>
  <c r="L11" i="2" s="1"/>
  <c r="I11" i="2"/>
  <c r="M11" i="2" s="1"/>
  <c r="G10" i="2"/>
  <c r="M7" i="2"/>
  <c r="M13" i="2"/>
  <c r="L13" i="2"/>
  <c r="K12" i="2"/>
  <c r="M12" i="2" s="1"/>
  <c r="M5" i="2"/>
  <c r="I8" i="2"/>
  <c r="M8" i="2" s="1"/>
  <c r="I6" i="2"/>
  <c r="L6" i="2" s="1"/>
  <c r="M10" i="2"/>
  <c r="L9" i="2"/>
  <c r="M9" i="2"/>
  <c r="I10" i="2"/>
  <c r="L7" i="2"/>
  <c r="G4" i="1"/>
  <c r="E4" i="1"/>
  <c r="D4" i="1"/>
  <c r="C4" i="1"/>
  <c r="B4" i="1"/>
  <c r="L10" i="2" l="1"/>
  <c r="M6" i="2"/>
  <c r="L8" i="2"/>
  <c r="L12" i="2"/>
</calcChain>
</file>

<file path=xl/sharedStrings.xml><?xml version="1.0" encoding="utf-8"?>
<sst xmlns="http://schemas.openxmlformats.org/spreadsheetml/2006/main" count="38" uniqueCount="23">
  <si>
    <t>Start</t>
  </si>
  <si>
    <t>End</t>
  </si>
  <si>
    <t>Duration</t>
  </si>
  <si>
    <t>Mokhtar</t>
  </si>
  <si>
    <t>Warda</t>
  </si>
  <si>
    <t>Anouar</t>
  </si>
  <si>
    <t>Abd Alhakim</t>
  </si>
  <si>
    <t>Omar</t>
  </si>
  <si>
    <t>Oussema 2</t>
  </si>
  <si>
    <t>Kaita</t>
  </si>
  <si>
    <t>Nejah</t>
  </si>
  <si>
    <t>Bernard</t>
  </si>
  <si>
    <t>Night</t>
  </si>
  <si>
    <t>Morning</t>
  </si>
  <si>
    <t>Arrival count</t>
  </si>
  <si>
    <t>Total hours</t>
  </si>
  <si>
    <t>Oussema</t>
  </si>
  <si>
    <t>Mohamed</t>
  </si>
  <si>
    <t xml:space="preserve">Zied </t>
  </si>
  <si>
    <t>Firas</t>
  </si>
  <si>
    <t>Fathi</t>
  </si>
  <si>
    <t>Employe</t>
  </si>
  <si>
    <t>Number_of_days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</si>
</sst>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8" fontId="0" fillId="0" borderId="0" xfId="0" applyNumberFormat="1"/>
    <xf numFmtId="20" fontId="0" fillId="0" borderId="0" xfId="0" applyNumberFormat="1"/>
    <xf numFmtId="165" fontId="0" fillId="0" borderId="1" xfId="0" applyNumberFormat="1" applyBorder="1"/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165" fontId="0" fillId="0" borderId="0" xfId="0" applyNumberFormat="1" applyFill="1" applyBorder="1" applyAlignment="1"/>
    <xf numFmtId="165" fontId="0" fillId="0" borderId="2" xfId="0" applyNumberFormat="1" applyFill="1" applyBorder="1" applyAlignment="1"/>
    <xf numFmtId="165" fontId="0" fillId="0" borderId="0" xfId="0" applyNumberFormat="1"/>
    <xf numFmtId="0" fontId="0" fillId="0" borderId="0" xfId="0" applyNumberFormat="1" applyFill="1" applyBorder="1" applyAlignme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E1" workbookViewId="0">
      <selection activeCell="A5" sqref="A2:G5"/>
    </sheetView>
  </sheetViews>
  <sheetFormatPr defaultColWidth="8.85546875" defaultRowHeight="15" x14ac:dyDescent="0.25"/>
  <cols>
    <col min="1" max="1" width="26.7109375" customWidth="1"/>
    <col min="2" max="2" width="22" customWidth="1"/>
    <col min="3" max="3" width="22.42578125" customWidth="1"/>
    <col min="4" max="4" width="40.5703125" customWidth="1"/>
    <col min="5" max="5" width="22.7109375" customWidth="1"/>
    <col min="6" max="6" width="20.28515625" customWidth="1"/>
    <col min="7" max="7" width="33.5703125" customWidth="1"/>
    <col min="8" max="8" width="12" customWidth="1"/>
    <col min="9" max="9" width="25.42578125" customWidth="1"/>
    <col min="10" max="10" width="12.42578125" customWidth="1"/>
    <col min="11" max="11" width="27.7109375" customWidth="1"/>
    <col min="12" max="12" width="11.85546875" customWidth="1"/>
    <col min="13" max="13" width="12.85546875" customWidth="1"/>
    <col min="16" max="16" width="15.7109375" customWidth="1"/>
  </cols>
  <sheetData>
    <row r="1" spans="1:13" x14ac:dyDescent="0.25">
      <c r="B1" s="19">
        <f>DATE(2021,8,28)</f>
        <v>44436</v>
      </c>
      <c r="C1" s="19"/>
      <c r="D1" s="19">
        <f>DATE(2021,8,29)</f>
        <v>44437</v>
      </c>
      <c r="E1" s="19"/>
      <c r="F1" s="19">
        <f>DATE(2021,8,30)</f>
        <v>44438</v>
      </c>
      <c r="G1" s="19"/>
      <c r="H1" s="19">
        <f>DATE(2021,8,31)</f>
        <v>44439</v>
      </c>
      <c r="I1" s="19"/>
      <c r="J1" s="19">
        <f>DATE(2021,9,1)</f>
        <v>44440</v>
      </c>
      <c r="K1" s="19"/>
      <c r="L1" t="s">
        <v>15</v>
      </c>
      <c r="M1" t="s">
        <v>14</v>
      </c>
    </row>
    <row r="2" spans="1:13" x14ac:dyDescent="0.25">
      <c r="B2" s="10" t="s">
        <v>13</v>
      </c>
      <c r="C2" s="7" t="s">
        <v>12</v>
      </c>
      <c r="D2" s="7" t="s">
        <v>13</v>
      </c>
      <c r="E2" s="7" t="s">
        <v>12</v>
      </c>
      <c r="F2" s="7" t="s">
        <v>13</v>
      </c>
      <c r="G2" s="7" t="s">
        <v>12</v>
      </c>
      <c r="H2" s="7" t="s">
        <v>13</v>
      </c>
      <c r="I2" s="7" t="s">
        <v>12</v>
      </c>
      <c r="J2" s="7" t="s">
        <v>13</v>
      </c>
      <c r="K2" s="7" t="s">
        <v>12</v>
      </c>
      <c r="L2" s="7"/>
    </row>
    <row r="3" spans="1:13" x14ac:dyDescent="0.25">
      <c r="A3" t="s">
        <v>0</v>
      </c>
      <c r="B3" s="7"/>
      <c r="C3" s="9">
        <f>TIME(15,0,0)</f>
        <v>0.625</v>
      </c>
      <c r="D3" s="9">
        <f>TIME(7,0,0)</f>
        <v>0.29166666666666669</v>
      </c>
      <c r="E3" s="9">
        <f>TIME(23,29,0)</f>
        <v>0.9784722222222223</v>
      </c>
      <c r="F3" s="9">
        <f>TIME(0,0,0)</f>
        <v>0</v>
      </c>
      <c r="G3" s="9">
        <f>TIME(19,0,0)</f>
        <v>0.79166666666666663</v>
      </c>
      <c r="H3" s="7"/>
      <c r="I3" s="9">
        <f>TIME(19,0,0)</f>
        <v>0.79166666666666663</v>
      </c>
      <c r="J3" s="7"/>
      <c r="K3" s="9">
        <f>TIME(22,0,0)</f>
        <v>0.91666666666666663</v>
      </c>
      <c r="L3" s="7"/>
    </row>
    <row r="4" spans="1:13" x14ac:dyDescent="0.25">
      <c r="A4" t="s">
        <v>1</v>
      </c>
      <c r="B4" s="7"/>
      <c r="C4" s="9">
        <f>TIME(17,0,0)</f>
        <v>0.70833333333333337</v>
      </c>
      <c r="D4" s="9">
        <f>TIME(9,0,0)</f>
        <v>0.375</v>
      </c>
      <c r="E4" s="9">
        <f>TIME(23,59,0)</f>
        <v>0.99930555555555556</v>
      </c>
      <c r="F4" s="9">
        <f>TIME(0,45,0)</f>
        <v>3.125E-2</v>
      </c>
      <c r="G4" s="9">
        <f>TIME(20,30,0)</f>
        <v>0.85416666666666663</v>
      </c>
      <c r="H4" s="7"/>
      <c r="I4" s="9">
        <f>TIME(20,15,0)</f>
        <v>0.84375</v>
      </c>
      <c r="J4" s="7"/>
      <c r="K4" s="9">
        <f>TIME(23,0,0)</f>
        <v>0.95833333333333337</v>
      </c>
      <c r="L4" s="7"/>
    </row>
    <row r="5" spans="1:13" x14ac:dyDescent="0.25">
      <c r="A5" t="s">
        <v>2</v>
      </c>
      <c r="B5" s="8"/>
      <c r="C5" s="5">
        <f>C4-C3</f>
        <v>8.333333333333337E-2</v>
      </c>
      <c r="D5" s="5">
        <f>D4-D3</f>
        <v>8.3333333333333315E-2</v>
      </c>
      <c r="E5" s="5">
        <f>E4-E3</f>
        <v>2.0833333333333259E-2</v>
      </c>
      <c r="F5" s="5">
        <f>F4-F3</f>
        <v>3.125E-2</v>
      </c>
      <c r="G5" s="5">
        <f>G4-G3</f>
        <v>6.25E-2</v>
      </c>
      <c r="H5" s="8"/>
      <c r="I5" s="5">
        <f>I4-I3</f>
        <v>5.208333333333337E-2</v>
      </c>
      <c r="J5" s="8"/>
      <c r="K5" s="5">
        <f>K4-K3</f>
        <v>4.1666666666666741E-2</v>
      </c>
      <c r="L5" s="5">
        <f>0+SUM(B5:K5)</f>
        <v>0.37500000000000006</v>
      </c>
      <c r="M5">
        <f>COUNT(C5,D5,E5,G5,I5,K5)</f>
        <v>6</v>
      </c>
    </row>
    <row r="6" spans="1:13" x14ac:dyDescent="0.25">
      <c r="A6" t="s">
        <v>16</v>
      </c>
      <c r="C6" s="5">
        <f xml:space="preserve"> C5</f>
        <v>8.333333333333337E-2</v>
      </c>
      <c r="D6" s="5">
        <f xml:space="preserve"> D5</f>
        <v>8.3333333333333315E-2</v>
      </c>
      <c r="E6" s="5">
        <f xml:space="preserve"> E5</f>
        <v>2.0833333333333259E-2</v>
      </c>
      <c r="F6" s="3">
        <f>F5</f>
        <v>3.125E-2</v>
      </c>
      <c r="G6" s="6">
        <f>G5</f>
        <v>6.25E-2</v>
      </c>
      <c r="I6" s="6">
        <f>I5</f>
        <v>5.208333333333337E-2</v>
      </c>
      <c r="K6" s="6">
        <f>K5</f>
        <v>4.1666666666666741E-2</v>
      </c>
      <c r="L6" s="5">
        <f t="shared" ref="L6:L13" si="0">SUM(B6:K6)</f>
        <v>0.37500000000000006</v>
      </c>
      <c r="M6">
        <f>COUNT(K6,I6,G6,E6,D6,C6)</f>
        <v>6</v>
      </c>
    </row>
    <row r="7" spans="1:13" x14ac:dyDescent="0.25">
      <c r="A7" t="s">
        <v>17</v>
      </c>
      <c r="C7" s="6">
        <f xml:space="preserve"> D6</f>
        <v>8.3333333333333315E-2</v>
      </c>
      <c r="D7" s="6">
        <f>D5</f>
        <v>8.3333333333333315E-2</v>
      </c>
      <c r="E7" s="6">
        <f>E5</f>
        <v>2.0833333333333259E-2</v>
      </c>
      <c r="F7" s="3">
        <f>F5</f>
        <v>3.125E-2</v>
      </c>
      <c r="G7" s="6">
        <f>G5</f>
        <v>6.25E-2</v>
      </c>
      <c r="I7" s="6">
        <f>I5</f>
        <v>5.208333333333337E-2</v>
      </c>
      <c r="K7" s="6">
        <f>K5</f>
        <v>4.1666666666666741E-2</v>
      </c>
      <c r="L7" s="5">
        <f t="shared" si="0"/>
        <v>0.375</v>
      </c>
      <c r="M7">
        <f>COUNT(K7,I7,G7,E7,D7,C7)</f>
        <v>6</v>
      </c>
    </row>
    <row r="8" spans="1:13" x14ac:dyDescent="0.25">
      <c r="A8" t="s">
        <v>18</v>
      </c>
      <c r="C8" s="8"/>
      <c r="D8" s="3"/>
      <c r="E8" s="6">
        <f>E5</f>
        <v>2.0833333333333259E-2</v>
      </c>
      <c r="F8" s="3">
        <f>F5</f>
        <v>3.125E-2</v>
      </c>
      <c r="I8" s="6">
        <f>I5</f>
        <v>5.208333333333337E-2</v>
      </c>
      <c r="K8" s="7"/>
      <c r="L8" s="5">
        <f t="shared" si="0"/>
        <v>0.10416666666666663</v>
      </c>
      <c r="M8">
        <f>COUNT(I8,E8)</f>
        <v>2</v>
      </c>
    </row>
    <row r="9" spans="1:13" x14ac:dyDescent="0.25">
      <c r="A9" t="s">
        <v>19</v>
      </c>
      <c r="C9" s="8"/>
      <c r="D9" s="3"/>
      <c r="E9" s="6">
        <f>E5</f>
        <v>2.0833333333333259E-2</v>
      </c>
      <c r="F9" s="3">
        <f>F5</f>
        <v>3.125E-2</v>
      </c>
      <c r="I9" s="7"/>
      <c r="K9" s="7"/>
      <c r="L9" s="5">
        <f t="shared" si="0"/>
        <v>5.2083333333333259E-2</v>
      </c>
      <c r="M9">
        <f>COUNT(E9)</f>
        <v>1</v>
      </c>
    </row>
    <row r="10" spans="1:13" x14ac:dyDescent="0.25">
      <c r="A10" t="s">
        <v>20</v>
      </c>
      <c r="C10" s="5">
        <f xml:space="preserve"> C5</f>
        <v>8.333333333333337E-2</v>
      </c>
      <c r="D10" s="3"/>
      <c r="G10" s="6">
        <f>G5</f>
        <v>6.25E-2</v>
      </c>
      <c r="I10" s="6">
        <f>I5</f>
        <v>5.208333333333337E-2</v>
      </c>
      <c r="K10" s="6">
        <f>K5</f>
        <v>4.1666666666666741E-2</v>
      </c>
      <c r="L10" s="5">
        <f t="shared" si="0"/>
        <v>0.23958333333333348</v>
      </c>
      <c r="M10">
        <f>COUNT(K10,I10,G10,C10)</f>
        <v>4</v>
      </c>
    </row>
    <row r="11" spans="1:13" x14ac:dyDescent="0.25">
      <c r="A11" t="s">
        <v>3</v>
      </c>
      <c r="C11" s="5">
        <f>C5</f>
        <v>8.333333333333337E-2</v>
      </c>
      <c r="D11" s="6">
        <f>D5</f>
        <v>8.3333333333333315E-2</v>
      </c>
      <c r="E11" s="6">
        <f>E5</f>
        <v>2.0833333333333259E-2</v>
      </c>
      <c r="F11" s="3">
        <f>F5</f>
        <v>3.125E-2</v>
      </c>
      <c r="G11" s="6">
        <f>G5</f>
        <v>6.25E-2</v>
      </c>
      <c r="I11" s="6">
        <f>I5</f>
        <v>5.208333333333337E-2</v>
      </c>
      <c r="K11" s="6">
        <f>K5</f>
        <v>4.1666666666666741E-2</v>
      </c>
      <c r="L11" s="5">
        <f t="shared" si="0"/>
        <v>0.37500000000000006</v>
      </c>
      <c r="M11">
        <f>COUNT(K11,I11,G11,E11,D11,C11)</f>
        <v>6</v>
      </c>
    </row>
    <row r="12" spans="1:13" x14ac:dyDescent="0.25">
      <c r="A12" t="s">
        <v>4</v>
      </c>
      <c r="C12" s="5">
        <f>C5</f>
        <v>8.333333333333337E-2</v>
      </c>
      <c r="D12" s="6">
        <f>D5</f>
        <v>8.3333333333333315E-2</v>
      </c>
      <c r="E12" s="6">
        <f>E5</f>
        <v>2.0833333333333259E-2</v>
      </c>
      <c r="F12" s="3">
        <f>F5</f>
        <v>3.125E-2</v>
      </c>
      <c r="G12" s="6">
        <f>G5</f>
        <v>6.25E-2</v>
      </c>
      <c r="K12" s="6">
        <f>K6</f>
        <v>4.1666666666666741E-2</v>
      </c>
      <c r="L12" s="5">
        <f t="shared" si="0"/>
        <v>0.32291666666666669</v>
      </c>
      <c r="M12">
        <f>COUNT(K12,G12,E12,D12,C12)</f>
        <v>5</v>
      </c>
    </row>
    <row r="13" spans="1:13" x14ac:dyDescent="0.25">
      <c r="A13" t="s">
        <v>11</v>
      </c>
      <c r="G13" s="6">
        <f>G5</f>
        <v>6.25E-2</v>
      </c>
      <c r="L13" s="5">
        <f t="shared" si="0"/>
        <v>6.25E-2</v>
      </c>
      <c r="M13">
        <f>COUNT(G13)</f>
        <v>1</v>
      </c>
    </row>
    <row r="18" spans="2:10" ht="15.75" thickBot="1" x14ac:dyDescent="0.3">
      <c r="C18" s="2"/>
      <c r="D18" s="2"/>
      <c r="E18" s="4"/>
    </row>
    <row r="19" spans="2:10" x14ac:dyDescent="0.25">
      <c r="C19" s="2"/>
      <c r="D19" s="14"/>
      <c r="E19" s="14"/>
      <c r="F19" s="14"/>
      <c r="G19" s="14"/>
      <c r="H19" s="14"/>
      <c r="I19" s="13"/>
      <c r="J19" s="13"/>
    </row>
    <row r="20" spans="2:10" x14ac:dyDescent="0.25">
      <c r="D20" s="11"/>
      <c r="E20" s="11"/>
      <c r="F20" s="11"/>
      <c r="G20" s="11"/>
      <c r="H20" s="11"/>
      <c r="I20" s="18"/>
      <c r="J20" s="11"/>
    </row>
    <row r="21" spans="2:10" x14ac:dyDescent="0.25">
      <c r="D21" s="11"/>
      <c r="E21" s="11"/>
      <c r="F21" s="11"/>
      <c r="G21" s="11"/>
      <c r="H21" s="15"/>
      <c r="I21" s="18"/>
      <c r="J21" s="11"/>
    </row>
    <row r="22" spans="2:10" x14ac:dyDescent="0.25">
      <c r="B22" s="20"/>
      <c r="C22" s="20"/>
      <c r="D22" s="11"/>
      <c r="E22" s="11"/>
      <c r="F22" s="11"/>
      <c r="G22" s="11"/>
      <c r="H22" s="15"/>
      <c r="I22" s="18"/>
      <c r="J22" s="11"/>
    </row>
    <row r="23" spans="2:10" x14ac:dyDescent="0.25">
      <c r="D23" s="11"/>
      <c r="E23" s="11"/>
      <c r="F23" s="11"/>
      <c r="G23" s="11"/>
      <c r="H23" s="15"/>
      <c r="I23" s="18"/>
      <c r="J23" s="11"/>
    </row>
    <row r="24" spans="2:10" x14ac:dyDescent="0.25">
      <c r="C24" s="2"/>
      <c r="D24" s="11"/>
      <c r="E24" s="11"/>
      <c r="F24" s="11"/>
      <c r="G24" s="11"/>
      <c r="H24" s="15"/>
      <c r="I24" s="18"/>
      <c r="J24" s="11"/>
    </row>
    <row r="25" spans="2:10" x14ac:dyDescent="0.25">
      <c r="C25" s="2"/>
      <c r="D25" s="11"/>
      <c r="E25" s="11"/>
      <c r="F25" s="11"/>
      <c r="G25" s="11"/>
      <c r="H25" s="15"/>
    </row>
    <row r="26" spans="2:10" x14ac:dyDescent="0.25">
      <c r="D26" s="11"/>
      <c r="E26" s="11"/>
      <c r="F26" s="11"/>
      <c r="G26" s="11"/>
      <c r="H26" s="15"/>
    </row>
    <row r="27" spans="2:10" x14ac:dyDescent="0.25">
      <c r="D27" s="11"/>
      <c r="E27" s="11"/>
      <c r="F27" s="11"/>
      <c r="G27" s="11"/>
      <c r="H27" s="11"/>
    </row>
    <row r="28" spans="2:10" x14ac:dyDescent="0.25">
      <c r="D28" s="11"/>
      <c r="E28" s="11"/>
      <c r="F28" s="11"/>
      <c r="G28" s="11"/>
      <c r="H28" s="11"/>
    </row>
    <row r="29" spans="2:10" x14ac:dyDescent="0.25">
      <c r="D29" s="11"/>
      <c r="E29" s="11"/>
      <c r="F29" s="11"/>
      <c r="G29" s="11"/>
      <c r="H29" s="15"/>
    </row>
    <row r="30" spans="2:10" x14ac:dyDescent="0.25">
      <c r="D30" s="11"/>
      <c r="E30" s="11"/>
      <c r="F30" s="11"/>
      <c r="G30" s="11"/>
      <c r="H30" s="15"/>
    </row>
    <row r="31" spans="2:10" x14ac:dyDescent="0.25">
      <c r="D31" s="11"/>
      <c r="E31" s="11"/>
      <c r="F31" s="11"/>
      <c r="G31" s="11"/>
      <c r="H31" s="15"/>
    </row>
    <row r="32" spans="2:10" x14ac:dyDescent="0.25">
      <c r="D32" s="11"/>
      <c r="E32" s="11"/>
      <c r="F32" s="11"/>
      <c r="G32" s="11"/>
      <c r="H32" s="15"/>
    </row>
    <row r="33" spans="4:8" ht="15.75" thickBot="1" x14ac:dyDescent="0.3">
      <c r="D33" s="12"/>
      <c r="E33" s="12"/>
      <c r="F33" s="12"/>
      <c r="G33" s="12"/>
      <c r="H33" s="16"/>
    </row>
    <row r="34" spans="4:8" x14ac:dyDescent="0.25">
      <c r="D34" s="11"/>
      <c r="H34" s="17"/>
    </row>
    <row r="35" spans="4:8" x14ac:dyDescent="0.25">
      <c r="D35" s="11"/>
      <c r="H35" s="17"/>
    </row>
    <row r="36" spans="4:8" x14ac:dyDescent="0.25">
      <c r="D36" s="11"/>
      <c r="H36" s="17"/>
    </row>
  </sheetData>
  <sortState xmlns:xlrd2="http://schemas.microsoft.com/office/spreadsheetml/2017/richdata2" ref="I20:I24">
    <sortCondition ref="I20"/>
  </sortState>
  <mergeCells count="6">
    <mergeCell ref="J1:K1"/>
    <mergeCell ref="B22:C22"/>
    <mergeCell ref="B1:C1"/>
    <mergeCell ref="D1:E1"/>
    <mergeCell ref="F1:G1"/>
    <mergeCell ref="H1:I1"/>
  </mergeCells>
  <conditionalFormatting sqref="L5:L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{420B7680-D699-42FF-A255-19C5344C36E7}</x14:id>
        </ext>
      </extLst>
    </cfRule>
  </conditionalFormatting>
  <conditionalFormatting sqref="H5 J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{FBC33345-BA97-425D-9812-72FCA2C05FAF}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0B7680-D699-42FF-A255-19C5344C3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L5:L13</xm:sqref>
        </x14:conditionalFormatting>
        <x14:conditionalFormatting xmlns:xm="http://schemas.microsoft.com/office/excel/2006/main">
          <x14:cfRule type="dataBar" id="{FBC33345-BA97-425D-9812-72FCA2C05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 J5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abSelected="1" topLeftCell="F1" workbookViewId="0">
      <selection activeCell="J1" sqref="J1"/>
    </sheetView>
  </sheetViews>
  <sheetFormatPr defaultColWidth="8.85546875" defaultRowHeight="15" x14ac:dyDescent="0.25"/>
  <cols>
    <col min="1" max="1" width="18.5703125" customWidth="1"/>
    <col min="2" max="9" width="34.28515625" customWidth="1"/>
    <col min="10" max="10" width="15.85546875" customWidth="1"/>
    <col min="13" max="13" width="31.28515625" customWidth="1"/>
    <col min="14" max="14" width="27.85546875" customWidth="1"/>
  </cols>
  <sheetData>
    <row r="1" spans="1:14" x14ac:dyDescent="0.25">
      <c r="A1" t="s">
        <v>21</v>
      </c>
      <c r="B1" s="1">
        <f>DATE(2021,9,2)</f>
        <v>44441</v>
      </c>
      <c r="C1" s="1">
        <f>DATE(2021,9,3)</f>
        <v>44442</v>
      </c>
      <c r="D1" s="1">
        <f>DATE(2021,9,4)</f>
        <v>44443</v>
      </c>
      <c r="E1" s="1">
        <f>DATE(2021,9,5)</f>
        <v>44444</v>
      </c>
      <c r="F1" s="1">
        <f>DATE(2021,9,6)</f>
        <v>44445</v>
      </c>
      <c r="G1" s="1">
        <f>DATE(2021,9,7)</f>
        <v>44446</v>
      </c>
      <c r="H1" s="1">
        <f>DATE(2021,9,8)</f>
        <v>44447</v>
      </c>
      <c r="I1" s="1">
        <f>DATE(2021,9,9)</f>
        <v>44448</v>
      </c>
      <c r="J1" t="s">
        <v>22</v>
      </c>
      <c r="M1" s="14"/>
      <c r="N1" s="14"/>
    </row>
    <row r="2" spans="1:14" x14ac:dyDescent="0.25">
      <c r="A2" t="s">
        <v>0</v>
      </c>
      <c r="B2" s="2">
        <f>TIME(10,0,0)</f>
        <v>0.41666666666666669</v>
      </c>
      <c r="C2" s="2">
        <f t="shared" ref="C2:I2" si="0">TIME(9,0,0)</f>
        <v>0.375</v>
      </c>
      <c r="D2" s="2">
        <f t="shared" si="0"/>
        <v>0.375</v>
      </c>
      <c r="E2" s="2">
        <f t="shared" si="0"/>
        <v>0.375</v>
      </c>
      <c r="F2" s="2">
        <f t="shared" si="0"/>
        <v>0.375</v>
      </c>
      <c r="G2" s="2">
        <f t="shared" si="0"/>
        <v>0.375</v>
      </c>
      <c r="H2" s="2">
        <f t="shared" si="0"/>
        <v>0.375</v>
      </c>
      <c r="I2" s="2">
        <f t="shared" si="0"/>
        <v>0.375</v>
      </c>
      <c r="M2" s="11"/>
      <c r="N2" s="11"/>
    </row>
    <row r="3" spans="1:14" x14ac:dyDescent="0.25">
      <c r="A3" t="s">
        <v>1</v>
      </c>
      <c r="B3" s="2">
        <f>TIME(17,0,0)</f>
        <v>0.70833333333333337</v>
      </c>
      <c r="C3" s="2">
        <f>TIME(16,0,0)</f>
        <v>0.66666666666666663</v>
      </c>
      <c r="D3" s="2">
        <f>TIME(17,0,0)</f>
        <v>0.70833333333333337</v>
      </c>
      <c r="E3" s="2">
        <f>TIME(17,30,0)</f>
        <v>0.72916666666666663</v>
      </c>
      <c r="F3" s="2">
        <f>TIME(17,30,0)</f>
        <v>0.72916666666666663</v>
      </c>
      <c r="G3" s="2">
        <f>TIME(18,0,0)</f>
        <v>0.75</v>
      </c>
      <c r="H3" s="2">
        <f>TIME(18,0,0)</f>
        <v>0.75</v>
      </c>
      <c r="I3" s="2">
        <f>TIME(18,30,0)</f>
        <v>0.77083333333333337</v>
      </c>
      <c r="M3" s="11"/>
      <c r="N3" s="11"/>
    </row>
    <row r="4" spans="1:14" x14ac:dyDescent="0.25">
      <c r="A4" t="s">
        <v>2</v>
      </c>
      <c r="B4" s="3">
        <f t="shared" ref="B4:G4" si="1">B3-B2</f>
        <v>0.29166666666666669</v>
      </c>
      <c r="C4" s="3">
        <f t="shared" si="1"/>
        <v>0.29166666666666663</v>
      </c>
      <c r="D4" s="3">
        <f t="shared" si="1"/>
        <v>0.33333333333333337</v>
      </c>
      <c r="E4" s="3">
        <f t="shared" si="1"/>
        <v>0.35416666666666663</v>
      </c>
      <c r="F4" s="3">
        <f t="shared" si="1"/>
        <v>0.35416666666666663</v>
      </c>
      <c r="G4" s="3">
        <f t="shared" si="1"/>
        <v>0.375</v>
      </c>
      <c r="H4" s="3">
        <f>H3-H2</f>
        <v>0.375</v>
      </c>
      <c r="I4" s="3">
        <f>I3-I2</f>
        <v>0.39583333333333337</v>
      </c>
      <c r="M4" s="11"/>
      <c r="N4" s="11"/>
    </row>
    <row r="5" spans="1:14" x14ac:dyDescent="0.25">
      <c r="A5" t="s">
        <v>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f t="shared" ref="J5:J10" si="2">B5+C5+D5+E5+F5+G5+H5+I5</f>
        <v>8</v>
      </c>
      <c r="M5" s="11"/>
      <c r="N5" s="11"/>
    </row>
    <row r="6" spans="1:14" x14ac:dyDescent="0.25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f t="shared" si="2"/>
        <v>8</v>
      </c>
      <c r="M6" s="11"/>
      <c r="N6" s="11"/>
    </row>
    <row r="7" spans="1:14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f t="shared" si="2"/>
        <v>8</v>
      </c>
      <c r="M7" s="11"/>
      <c r="N7" s="11"/>
    </row>
    <row r="8" spans="1:14" x14ac:dyDescent="0.2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f t="shared" si="2"/>
        <v>8</v>
      </c>
      <c r="M8" s="11"/>
      <c r="N8" s="11"/>
    </row>
    <row r="9" spans="1:14" x14ac:dyDescent="0.25">
      <c r="A9" t="s">
        <v>5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f t="shared" si="2"/>
        <v>6</v>
      </c>
      <c r="M9" s="11"/>
      <c r="N9" s="11"/>
    </row>
    <row r="10" spans="1:14" x14ac:dyDescent="0.25">
      <c r="A10" t="s">
        <v>6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f t="shared" si="2"/>
        <v>6</v>
      </c>
      <c r="M10" s="11"/>
      <c r="N10" s="11"/>
    </row>
    <row r="11" spans="1:14" x14ac:dyDescent="0.25">
      <c r="A11" t="s">
        <v>7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f>E11+F11+G11+H11+I11</f>
        <v>1</v>
      </c>
      <c r="M11" s="11"/>
      <c r="N11" s="11"/>
    </row>
    <row r="12" spans="1:14" x14ac:dyDescent="0.25">
      <c r="A12" t="s">
        <v>9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f>E12+F12+G12+H12+I12</f>
        <v>5</v>
      </c>
      <c r="M12" s="11"/>
      <c r="N12" s="11"/>
    </row>
    <row r="13" spans="1:14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f>G13+H13+I13</f>
        <v>2</v>
      </c>
      <c r="M13" s="11"/>
      <c r="N13" s="11"/>
    </row>
    <row r="14" spans="1:14" x14ac:dyDescent="0.25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f>I14</f>
        <v>1</v>
      </c>
      <c r="M14" s="11"/>
      <c r="N14" s="11"/>
    </row>
    <row r="15" spans="1:14" ht="15.75" thickBot="1" x14ac:dyDescent="0.3">
      <c r="M15" s="12"/>
      <c r="N15" s="12"/>
    </row>
    <row r="16" spans="1:14" x14ac:dyDescent="0.25">
      <c r="M16" s="11"/>
    </row>
    <row r="17" spans="10:13" x14ac:dyDescent="0.25">
      <c r="M17" s="11"/>
    </row>
    <row r="18" spans="10:13" x14ac:dyDescent="0.25">
      <c r="M18" s="11"/>
    </row>
    <row r="24" spans="10:13" ht="15.75" thickBot="1" x14ac:dyDescent="0.3"/>
    <row r="25" spans="10:13" x14ac:dyDescent="0.25">
      <c r="J25" s="13"/>
      <c r="K25" s="13"/>
    </row>
    <row r="26" spans="10:13" x14ac:dyDescent="0.25">
      <c r="J26" s="11"/>
      <c r="K26" s="11"/>
    </row>
    <row r="27" spans="10:13" x14ac:dyDescent="0.25">
      <c r="J27" s="11"/>
      <c r="K27" s="11"/>
    </row>
    <row r="28" spans="10:13" x14ac:dyDescent="0.25">
      <c r="J28" s="11"/>
      <c r="K28" s="11"/>
    </row>
    <row r="29" spans="10:13" ht="15.75" thickBot="1" x14ac:dyDescent="0.3">
      <c r="J29" s="12"/>
      <c r="K29" s="12"/>
    </row>
    <row r="30" spans="10:13" x14ac:dyDescent="0.25">
      <c r="J30" s="11"/>
      <c r="K30" s="11"/>
    </row>
  </sheetData>
  <conditionalFormatting sqref="J2:J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{004B3B61-8A8E-489E-B115-F105BB719615}</x14:id>
        </ext>
      </extLst>
    </cfRule>
  </conditionalFormatting>
  <pageMargins left="0.7" right="0.7" top="0.75" bottom="0.75" header="0.3" footer="0.3"/>
  <pageSetup orientation="portrait" r:id="rId1"/>
  <ignoredErrors>
    <ignoredError sqref="C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4B3B61-8A8E-489E-B115-F105BB719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encaissement</vt:lpstr>
      <vt:lpstr>traitement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Trabelsi Oussema</dc:creator>
  <cp:lastModifiedBy>Trabelsi Oussema</cp:lastModifiedBy>
  <dcterms:created xsi:type="dcterms:W3CDTF">2021-09-02T22:24:15Z</dcterms:created>
  <dcterms:modified xsi:type="dcterms:W3CDTF">2022-01-16T16:01:25Z</dcterms:modified>
</cp:coreProperties>
</file>